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0" autoFilterDateGrouping="1"/>
  </bookViews>
  <sheets>
    <sheet xmlns:r="http://schemas.openxmlformats.org/officeDocument/2006/relationships" name="Welcome" sheetId="1" state="visible" r:id="rId1"/>
    <sheet xmlns:r="http://schemas.openxmlformats.org/officeDocument/2006/relationships" name="Setup Lists" sheetId="2" state="visible" r:id="rId2"/>
    <sheet xmlns:r="http://schemas.openxmlformats.org/officeDocument/2006/relationships" name="Pipeline" sheetId="3" state="visible" r:id="rId3"/>
    <sheet xmlns:r="http://schemas.openxmlformats.org/officeDocument/2006/relationships" name="Summary" sheetId="4" state="visible" r:id="rId4"/>
    <sheet xmlns:r="http://schemas.openxmlformats.org/officeDocument/2006/relationships" name="Preview" sheetId="5" state="visible" r:id="rId5"/>
  </sheets>
  <definedNames>
    <definedName name="LangSel">Welcome!$B$1</definedName>
    <definedName name="LiteOppTypes">'Setup Lists'!$A$4:$A$33</definedName>
    <definedName name="LiteSales">'Setup Lists'!$C$4:$C$33</definedName>
    <definedName name="_xlnm._FilterDatabase" localSheetId="2" hidden="1">'Pipeline'!$A$2:$O$54</definedName>
  </definedNames>
  <calcPr calcId="191029" fullCalcOnLoad="1"/>
</workbook>
</file>

<file path=xl/styles.xml><?xml version="1.0" encoding="utf-8"?>
<styleSheet xmlns="http://schemas.openxmlformats.org/spreadsheetml/2006/main">
  <numFmts count="2">
    <numFmt numFmtId="164" formatCode="\$#,##0"/>
    <numFmt numFmtId="165" formatCode="mm/dd/yyyy"/>
  </numFmts>
  <fonts count="19">
    <font>
      <name val="Calibri"/>
      <family val="2"/>
      <color theme="1"/>
      <sz val="11"/>
      <scheme val="minor"/>
    </font>
    <font>
      <name val="Arial"/>
      <family val="2"/>
      <b val="1"/>
      <color rgb="FF1F5C8B"/>
      <sz val="11"/>
    </font>
    <font>
      <name val="Arial"/>
      <family val="2"/>
      <b val="1"/>
      <color theme="1"/>
      <sz val="11"/>
    </font>
    <font>
      <name val="Arial"/>
      <family val="2"/>
      <b val="1"/>
      <color rgb="FFFFFFFF"/>
      <sz val="15"/>
    </font>
    <font>
      <name val="Arial"/>
      <family val="2"/>
      <i val="1"/>
      <color rgb="FF555555"/>
      <sz val="10"/>
    </font>
    <font>
      <name val="Arial"/>
      <family val="2"/>
      <b val="1"/>
      <color rgb="FF006B32"/>
      <sz val="12"/>
    </font>
    <font>
      <name val="Arial"/>
      <family val="2"/>
      <color theme="1"/>
      <sz val="10"/>
    </font>
    <font>
      <name val="Arial"/>
      <family val="2"/>
      <b val="1"/>
      <color rgb="FF009444"/>
      <sz val="10"/>
    </font>
    <font>
      <name val="Arial"/>
      <family val="2"/>
      <b val="1"/>
      <color rgb="FFFFFFFF"/>
      <sz val="12"/>
    </font>
    <font>
      <name val="Arial"/>
      <family val="2"/>
      <b val="1"/>
      <color rgb="FF1F5C8B"/>
      <sz val="11"/>
      <u val="single"/>
    </font>
    <font>
      <name val="Arial"/>
      <family val="2"/>
      <i val="1"/>
      <color rgb="FF664D03"/>
      <sz val="9"/>
    </font>
    <font>
      <name val="Arial"/>
      <family val="2"/>
      <color rgb="FF888888"/>
      <sz val="9"/>
    </font>
    <font>
      <name val="Arial"/>
      <family val="2"/>
      <b val="1"/>
      <color rgb="FF1F5C8B"/>
      <sz val="10"/>
    </font>
    <font>
      <name val="Arial"/>
      <family val="2"/>
      <b val="1"/>
      <color rgb="FFFFFFFF"/>
      <sz val="10"/>
    </font>
    <font>
      <name val="Arial"/>
      <family val="2"/>
      <color theme="1"/>
      <sz val="11"/>
    </font>
    <font>
      <name val="Arial"/>
      <family val="2"/>
      <b val="1"/>
      <color rgb="FFFFFFFF"/>
      <sz val="11"/>
    </font>
    <font>
      <name val="Arial"/>
      <family val="2"/>
      <i val="1"/>
      <color rgb="FF2E7D32"/>
      <sz val="10"/>
    </font>
    <font>
      <name val="Arial"/>
      <family val="2"/>
      <b val="1"/>
      <color theme="1"/>
      <sz val="10"/>
    </font>
    <font>
      <name val="Arial"/>
      <family val="2"/>
      <b val="1"/>
      <i val="1"/>
      <color rgb="FFB00000"/>
      <sz val="10"/>
    </font>
  </fonts>
  <fills count="13">
    <fill>
      <patternFill/>
    </fill>
    <fill>
      <patternFill patternType="gray125"/>
    </fill>
    <fill>
      <patternFill patternType="solid">
        <fgColor rgb="FFFFF3C4"/>
        <bgColor indexed="64"/>
      </patternFill>
    </fill>
    <fill>
      <patternFill patternType="solid">
        <fgColor rgb="FF009444"/>
        <bgColor indexed="64"/>
      </patternFill>
    </fill>
    <fill>
      <patternFill patternType="solid">
        <fgColor rgb="FFF0F7F0"/>
        <bgColor indexed="64"/>
      </patternFill>
    </fill>
    <fill>
      <patternFill patternType="solid">
        <fgColor rgb="FFC9963A"/>
        <bgColor indexed="64"/>
      </patternFill>
    </fill>
    <fill>
      <patternFill patternType="solid">
        <fgColor rgb="FFFDF6E9"/>
        <bgColor indexed="64"/>
      </patternFill>
    </fill>
    <fill>
      <patternFill patternType="solid">
        <fgColor rgb="FFFFF8E8"/>
        <bgColor indexed="64"/>
      </patternFill>
    </fill>
    <fill>
      <patternFill patternType="solid">
        <fgColor rgb="FF1F5C8B"/>
        <bgColor indexed="64"/>
      </patternFill>
    </fill>
    <fill>
      <patternFill patternType="solid">
        <fgColor rgb="FF7B5EA7"/>
        <bgColor indexed="64"/>
      </patternFill>
    </fill>
    <fill>
      <patternFill patternType="solid">
        <fgColor rgb="FFE8F5E9"/>
        <bgColor indexed="64"/>
      </patternFill>
    </fill>
    <fill>
      <patternFill patternType="solid">
        <fgColor rgb="FFF7FBF7"/>
        <bgColor indexed="64"/>
      </patternFill>
    </fill>
    <fill>
      <patternFill patternType="solid">
        <fgColor rgb="FF006B32"/>
        <bgColor indexed="64"/>
      </patternFill>
    </fill>
  </fills>
  <borders count="9">
    <border>
      <left/>
      <right/>
      <top/>
      <bottom/>
      <diagonal/>
    </border>
    <border>
      <left style="medium">
        <color rgb="FFC9963A"/>
      </left>
      <right style="medium">
        <color rgb="FFC9963A"/>
      </right>
      <top style="medium">
        <color rgb="FFC9963A"/>
      </top>
      <bottom style="medium">
        <color rgb="FFC9963A"/>
      </bottom>
      <diagonal/>
    </border>
    <border>
      <left style="thin">
        <color rgb="FFE8D5A8"/>
      </left>
      <right style="thin">
        <color rgb="FFE8D5A8"/>
      </right>
      <top style="thin">
        <color rgb="FFE8D5A8"/>
      </top>
      <bottom style="thin">
        <color rgb="FFE8D5A8"/>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
      <left/>
      <right/>
      <top style="thin">
        <color rgb="FFE8D5A8"/>
      </top>
      <bottom/>
      <diagonal/>
    </border>
    <border>
      <left/>
      <right style="thin">
        <color rgb="FFE8D5A8"/>
      </right>
      <top style="thin">
        <color rgb="FFE8D5A8"/>
      </top>
      <bottom/>
      <diagonal/>
    </border>
    <border>
      <left/>
      <right/>
      <top style="thin">
        <color rgb="FFE8D5A8"/>
      </top>
      <bottom style="thin">
        <color rgb="FFE8D5A8"/>
      </bottom>
      <diagonal/>
    </border>
    <border>
      <left/>
      <right style="thin">
        <color rgb="FFE8D5A8"/>
      </right>
      <top style="thin">
        <color rgb="FFE8D5A8"/>
      </top>
      <bottom style="thin">
        <color rgb="FFE8D5A8"/>
      </bottom>
      <diagonal/>
    </border>
  </borders>
  <cellStyleXfs count="1">
    <xf numFmtId="0" fontId="0" fillId="0" borderId="0"/>
  </cellStyleXfs>
  <cellXfs count="47">
    <xf numFmtId="0" fontId="0" fillId="0" borderId="0" pivotButton="0" quotePrefix="0" xfId="0"/>
    <xf numFmtId="0" fontId="1" fillId="0" borderId="0" applyAlignment="1" pivotButton="0" quotePrefix="0" xfId="0">
      <alignment horizontal="right"/>
    </xf>
    <xf numFmtId="0" fontId="2" fillId="2" borderId="1" applyAlignment="1" applyProtection="1" pivotButton="0" quotePrefix="0" xfId="0">
      <alignment horizontal="center"/>
      <protection locked="0" hidden="0"/>
    </xf>
    <xf numFmtId="0" fontId="3" fillId="3" borderId="0" applyAlignment="1" pivotButton="0" quotePrefix="0" xfId="0">
      <alignment horizontal="center" vertical="center"/>
    </xf>
    <xf numFmtId="0" fontId="4" fillId="4" borderId="0" applyAlignment="1" pivotButton="0" quotePrefix="0" xfId="0">
      <alignment horizontal="center"/>
    </xf>
    <xf numFmtId="0" fontId="5" fillId="0" borderId="0" applyAlignment="1" pivotButton="0" quotePrefix="0" xfId="0">
      <alignment vertical="center"/>
    </xf>
    <xf numFmtId="0" fontId="6" fillId="0" borderId="0" applyAlignment="1" pivotButton="0" quotePrefix="0" xfId="0">
      <alignment vertical="top" wrapText="1"/>
    </xf>
    <xf numFmtId="0" fontId="7" fillId="0" borderId="0" applyAlignment="1" pivotButton="0" quotePrefix="0" xfId="0">
      <alignment vertical="center"/>
    </xf>
    <xf numFmtId="0" fontId="8" fillId="5" borderId="0" applyAlignment="1" pivotButton="0" quotePrefix="0" xfId="0">
      <alignment horizontal="center" vertical="center"/>
    </xf>
    <xf numFmtId="0" fontId="6" fillId="6" borderId="2" applyAlignment="1" pivotButton="0" quotePrefix="0" xfId="0">
      <alignment vertical="top" wrapText="1"/>
    </xf>
    <xf numFmtId="0" fontId="9" fillId="0" borderId="0" pivotButton="0" quotePrefix="0" xfId="0"/>
    <xf numFmtId="0" fontId="10" fillId="7" borderId="0" applyAlignment="1" pivotButton="0" quotePrefix="0" xfId="0">
      <alignment vertical="center" wrapText="1"/>
    </xf>
    <xf numFmtId="0" fontId="11" fillId="0" borderId="0" pivotButton="0" quotePrefix="0" xfId="0"/>
    <xf numFmtId="0" fontId="12" fillId="0" borderId="0" pivotButton="0" quotePrefix="0" xfId="0"/>
    <xf numFmtId="0" fontId="13" fillId="8" borderId="3" applyAlignment="1" pivotButton="0" quotePrefix="0" xfId="0">
      <alignment horizontal="center"/>
    </xf>
    <xf numFmtId="0" fontId="6" fillId="0" borderId="4" applyProtection="1" pivotButton="0" quotePrefix="0" xfId="0">
      <protection locked="0" hidden="0"/>
    </xf>
    <xf numFmtId="164" fontId="13" fillId="3" borderId="3" applyAlignment="1" pivotButton="0" quotePrefix="0" xfId="0">
      <alignment horizontal="right"/>
    </xf>
    <xf numFmtId="0" fontId="14" fillId="3" borderId="0" pivotButton="0" quotePrefix="0" xfId="0"/>
    <xf numFmtId="0" fontId="15" fillId="3" borderId="4" applyAlignment="1" pivotButton="0" quotePrefix="0" xfId="0">
      <alignment horizontal="center" vertical="center" wrapText="1"/>
    </xf>
    <xf numFmtId="0" fontId="15" fillId="9" borderId="4" applyAlignment="1" pivotButton="0" quotePrefix="0" xfId="0">
      <alignment horizontal="center" vertical="center" wrapText="1"/>
    </xf>
    <xf numFmtId="0" fontId="16" fillId="10" borderId="4" applyProtection="1" pivotButton="0" quotePrefix="0" xfId="0">
      <protection locked="0" hidden="0"/>
    </xf>
    <xf numFmtId="9" fontId="16" fillId="10" borderId="4" applyProtection="1" pivotButton="0" quotePrefix="0" xfId="0">
      <protection locked="0" hidden="0"/>
    </xf>
    <xf numFmtId="165" fontId="16" fillId="10" borderId="4" applyProtection="1" pivotButton="0" quotePrefix="0" xfId="0">
      <protection locked="0" hidden="0"/>
    </xf>
    <xf numFmtId="164" fontId="16" fillId="10" borderId="4" applyProtection="1" pivotButton="0" quotePrefix="0" xfId="0">
      <protection locked="0" hidden="0"/>
    </xf>
    <xf numFmtId="0" fontId="6" fillId="0" borderId="4" applyAlignment="1" applyProtection="1" pivotButton="0" quotePrefix="0" xfId="0">
      <alignment vertical="top"/>
      <protection locked="0" hidden="0"/>
    </xf>
    <xf numFmtId="9" fontId="6" fillId="0" borderId="4" applyAlignment="1" applyProtection="1" pivotButton="0" quotePrefix="0" xfId="0">
      <alignment vertical="top"/>
      <protection locked="0" hidden="0"/>
    </xf>
    <xf numFmtId="165" fontId="6" fillId="0" borderId="4" applyAlignment="1" applyProtection="1" pivotButton="0" quotePrefix="0" xfId="0">
      <alignment vertical="top"/>
      <protection locked="0" hidden="0"/>
    </xf>
    <xf numFmtId="164" fontId="6" fillId="0" borderId="4" applyAlignment="1" applyProtection="1" pivotButton="0" quotePrefix="0" xfId="0">
      <alignment vertical="top"/>
      <protection locked="0" hidden="0"/>
    </xf>
    <xf numFmtId="0" fontId="6" fillId="0" borderId="4" applyAlignment="1" applyProtection="1" pivotButton="0" quotePrefix="0" xfId="0">
      <alignment vertical="top" wrapText="1"/>
      <protection locked="0" hidden="0"/>
    </xf>
    <xf numFmtId="0" fontId="6" fillId="11" borderId="4" applyAlignment="1" applyProtection="1" pivotButton="0" quotePrefix="0" xfId="0">
      <alignment vertical="top"/>
      <protection locked="0" hidden="0"/>
    </xf>
    <xf numFmtId="9" fontId="6" fillId="11" borderId="4" applyAlignment="1" applyProtection="1" pivotButton="0" quotePrefix="0" xfId="0">
      <alignment vertical="top"/>
      <protection locked="0" hidden="0"/>
    </xf>
    <xf numFmtId="165" fontId="6" fillId="11" borderId="4" applyAlignment="1" applyProtection="1" pivotButton="0" quotePrefix="0" xfId="0">
      <alignment vertical="top"/>
      <protection locked="0" hidden="0"/>
    </xf>
    <xf numFmtId="164" fontId="6" fillId="11" borderId="4" applyAlignment="1" applyProtection="1" pivotButton="0" quotePrefix="0" xfId="0">
      <alignment vertical="top"/>
      <protection locked="0" hidden="0"/>
    </xf>
    <xf numFmtId="0" fontId="6" fillId="11" borderId="4" applyAlignment="1" applyProtection="1" pivotButton="0" quotePrefix="0" xfId="0">
      <alignment vertical="top" wrapText="1"/>
      <protection locked="0" hidden="0"/>
    </xf>
    <xf numFmtId="0" fontId="17" fillId="0" borderId="4" pivotButton="0" quotePrefix="0" xfId="0"/>
    <xf numFmtId="0" fontId="6" fillId="0" borderId="4" applyAlignment="1" pivotButton="0" quotePrefix="0" xfId="0">
      <alignment horizontal="right"/>
    </xf>
    <xf numFmtId="164" fontId="6" fillId="0" borderId="4" applyAlignment="1" pivotButton="0" quotePrefix="0" xfId="0">
      <alignment horizontal="right"/>
    </xf>
    <xf numFmtId="0" fontId="18" fillId="0" borderId="4" pivotButton="0" quotePrefix="0" xfId="0"/>
    <xf numFmtId="0" fontId="13" fillId="3" borderId="0" applyAlignment="1" pivotButton="0" quotePrefix="0" xfId="0">
      <alignment horizontal="right"/>
    </xf>
    <xf numFmtId="0" fontId="10" fillId="7" borderId="0" applyAlignment="1" pivotButton="0" quotePrefix="0" xfId="0">
      <alignment vertical="center" wrapText="1"/>
    </xf>
    <xf numFmtId="0" fontId="3" fillId="3" borderId="0" applyAlignment="1" pivotButton="0" quotePrefix="0" xfId="0">
      <alignment horizontal="center" vertical="center"/>
    </xf>
    <xf numFmtId="0" fontId="4" fillId="4" borderId="0" applyAlignment="1" pivotButton="0" quotePrefix="0" xfId="0">
      <alignment horizontal="center"/>
    </xf>
    <xf numFmtId="0" fontId="13" fillId="12" borderId="0" applyAlignment="1" pivotButton="0" quotePrefix="0" xfId="0">
      <alignment horizontal="center"/>
    </xf>
    <xf numFmtId="0" fontId="6" fillId="6" borderId="2" applyAlignment="1" pivotButton="0" quotePrefix="0" xfId="0">
      <alignment vertical="top" wrapText="1"/>
    </xf>
    <xf numFmtId="0" fontId="11" fillId="0" borderId="0" pivotButton="0" quotePrefix="0" xfId="0"/>
    <xf numFmtId="0" fontId="0" fillId="0" borderId="7" pivotButton="0" quotePrefix="0" xfId="0"/>
    <xf numFmtId="0" fontId="0" fillId="0" borderId="8" pivotButton="0" quotePrefix="0" xfId="0"/>
  </cellXfs>
  <cellStyles count="1">
    <cellStyle name="Normal" xfId="0" builtinId="0"/>
  </cellStyles>
  <dxfs count="2">
    <dxf>
      <font>
        <color rgb="FFB00000"/>
      </font>
      <fill>
        <patternFill>
          <bgColor rgb="FFFDDCDC"/>
        </patternFill>
      </fill>
    </dxf>
    <dxf>
      <font>
        <color rgb="FFB00000"/>
      </font>
      <fill>
        <patternFill>
          <bgColor rgb="FFFDDC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from>
      <col>0</col>
      <colOff>0</colOff>
      <row>4</row>
      <rowOff>0</rowOff>
    </from>
    <to>
      <col>0</col>
      <colOff>5374005</colOff>
      <row>12</row>
      <rowOff>188595</rowOff>
    </to>
    <pic>
      <nvPicPr>
        <cNvPr id="2" name="Picture 1" descr="teaser_data.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028700"/>
          <a:ext cx="5374005" cy="1712595"/>
        </a:xfrm>
        <a:prstGeom xmlns:a="http://schemas.openxmlformats.org/drawingml/2006/main" prst="rect">
          <avLst/>
        </a:prstGeom>
        <a:ln xmlns:a="http://schemas.openxmlformats.org/drawingml/2006/main">
          <a:prstDash val="solid"/>
        </a:ln>
      </spPr>
    </pic>
    <clientData/>
  </twoCellAnchor>
  <twoCellAnchor>
    <from>
      <col>0</col>
      <colOff>0</colOff>
      <row>16</row>
      <rowOff>0</rowOff>
    </from>
    <to>
      <col>0</col>
      <colOff>5183505</colOff>
      <row>29</row>
      <rowOff>26670</rowOff>
    </to>
    <pic>
      <nvPicPr>
        <cNvPr id="3" name="Picture 2" descr="teaser_summary.png"/>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3352800"/>
          <a:ext cx="5183505" cy="2503170"/>
        </a:xfrm>
        <a:prstGeom xmlns:a="http://schemas.openxmlformats.org/drawingml/2006/main" prst="rect">
          <avLst/>
        </a:prstGeom>
        <a:ln xmlns:a="http://schemas.openxmlformats.org/drawingml/2006/main">
          <a:prstDash val="solid"/>
        </a:ln>
      </spPr>
    </pic>
    <clientData/>
  </twoCellAnchor>
  <twoCellAnchor>
    <from>
      <col>0</col>
      <colOff>0</colOff>
      <row>34</row>
      <rowOff>0</rowOff>
    </from>
    <to>
      <col>0</col>
      <colOff>4667250</colOff>
      <row>56</row>
      <rowOff>0</rowOff>
    </to>
    <pic>
      <nvPicPr>
        <cNvPr id="4" name="Picture 3" descr="teaser_dashboard.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6819900"/>
          <a:ext cx="4667250" cy="419100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enrev.co/" TargetMode="External" Id="rId1"/></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009444"/>
    <outlinePr summaryBelow="1" summaryRight="1"/>
    <pageSetUpPr/>
  </sheetPr>
  <dimension ref="A1:B31"/>
  <sheetViews>
    <sheetView tabSelected="1" workbookViewId="0">
      <selection activeCell="A5" sqref="A5"/>
    </sheetView>
  </sheetViews>
  <sheetFormatPr baseColWidth="8" defaultRowHeight="14.5"/>
  <cols>
    <col width="96.7265625" customWidth="1" min="1" max="1"/>
    <col width="10.7265625" customWidth="1" min="2" max="2"/>
  </cols>
  <sheetData>
    <row r="1" ht="20" customHeight="1">
      <c r="A1" s="1" t="inlineStr">
        <is>
          <t>Language / Idioma  &gt;</t>
        </is>
      </c>
      <c r="B1" s="2" t="inlineStr">
        <is>
          <t>EN</t>
        </is>
      </c>
    </row>
    <row r="2" ht="32" customHeight="1">
      <c r="A2" s="40">
        <f>IF(LangSel="ES","GENREV!™ Pipeline Lite™","GENREV!™ Pipeline Lite™")</f>
        <v/>
      </c>
    </row>
    <row r="3" ht="18" customHeight="1">
      <c r="A3" s="41">
        <f>IF(LangSel="ES","Una introduccion a la disciplina Sales Resource Management (SRM). Generating More Revenue Profitably™","An introduction to the Sales Resource Management (SRM) discipline. Generating More Revenue Profitably™")</f>
        <v/>
      </c>
    </row>
    <row r="5" ht="18" customHeight="1">
      <c r="A5" s="5">
        <f>IF(LangSel="ES","Que Es Esto","What This Is")</f>
        <v/>
      </c>
    </row>
    <row r="6" ht="44" customHeight="1">
      <c r="A6" s="6">
        <f>IF(LangSel="ES",_xlfn._LONGTEXT("Un lugar simple y disciplinado para dar seguimiento a cada oportunidad de venta antes de comprometerla en el pronostico. Una fila por oportunidad, probabilidades honestas, y cada accion con un responsable y una fecha limite. Esta hecho para que vendedores"," y lideres vean los mismos numeros juntos."),_xlfn._LONGTEXT("One simple, disciplined place to track every sales opportunity you are working, before it becomes a forecast commitment. One row per opportunity, honest probabilities, and every action with an owner and a due date. It is built so salespeople and leaders s","ee the same numbers together."))</f>
        <v/>
      </c>
    </row>
    <row r="8" ht="18" customHeight="1">
      <c r="A8" s="5">
        <f>IF(LangSel="ES","Como Usarlo","How To Use It")</f>
        <v/>
      </c>
    </row>
    <row r="9" ht="28" customHeight="1">
      <c r="A9" s="6">
        <f>IF(LangSel="ES","1. En la pestana Setup Lists, ingrese sus Tipos de Oportunidad y Vendedores. Dos minutos, una vez.","1. On the Setup Lists tab, enter your Opportunity Types and Salespeople. Two minutes, once.")</f>
        <v/>
      </c>
    </row>
    <row r="10" ht="28" customHeight="1">
      <c r="A10" s="6">
        <f>IF(LangSel="ES","2. En la pestana Pipeline, revise la fila verde de ejemplo, borrela, e ingrese cada oportunidad como una fila usando los menus.","2. On the Pipeline tab, review the green example row, delete it, and enter each opportunity as one row using the dropdowns.")</f>
        <v/>
      </c>
    </row>
    <row r="11" ht="28" customHeight="1">
      <c r="A11" s="6">
        <f>IF(LangSel="ES","3. Conforme cambien las cosas, actualice Estado, Probabilidad, Proximo Contacto y la Accion Requerida con su Responsable y Fecha Limite.","3. As things change, update Status, Probability, Next Contact, and the Required Action with its Owner and Due Date.")</f>
        <v/>
      </c>
    </row>
    <row r="12" ht="28" customHeight="1">
      <c r="A12" s="6">
        <f>IF(LangSel="ES","4. Si una oportunidad muere, marquela Perdida y anote por que. Nunca borre la fila. La pestana Summary y los totales de arriba se calculan solos.","4. If an opportunity dies, mark it Lost and note why. Never delete the row. The Summary tab and the totals at the top of the Pipeline tab calculate themselves.")</f>
        <v/>
      </c>
    </row>
    <row r="14" ht="18" customHeight="1">
      <c r="A14" s="5">
        <f>IF(LangSel="ES","Tres Reglas Que Lo Hacen Funcionar","Three Rules That Make It Work")</f>
        <v/>
      </c>
    </row>
    <row r="15" ht="16" customHeight="1">
      <c r="A15" s="7">
        <f>IF(LangSel="ES","1.  SIN MATEMATICA PONDERADA","1.  NO WEIGHTED MATH")</f>
        <v/>
      </c>
    </row>
    <row r="16" ht="30" customHeight="1">
      <c r="A16" s="6">
        <f>IF(LangSel="ES","Un negocio de $500K al 50% no es $250K de ingreso esperado. Los pedidos suceden o no suceden. La probabilidad ordena los negocios; no los descuenta.","A $500K deal at 50% is not $250K of expected revenue. Orders happen or they do not. Probability ranks deals; it does not discount them.")</f>
        <v/>
      </c>
    </row>
    <row r="17" ht="16" customHeight="1">
      <c r="A17" s="7">
        <f>IF(LangSel="ES","2.  NADA SE BORRA","2.  NOTHING DELETED")</f>
        <v/>
      </c>
    </row>
    <row r="18" ht="30" customHeight="1">
      <c r="A18" s="6">
        <f>IF(LangSel="ES","Lo perdido se queda, con su razon en Notas. En la historia viven las lecciones.","Lost deals stay, with the reason in Notes. History is where the lessons live.")</f>
        <v/>
      </c>
    </row>
    <row r="19" ht="16" customHeight="1">
      <c r="A19" s="7">
        <f>IF(LangSel="ES","3.  TODO CON RESPONSABLE","3.  EVERYTHING OWNED")</f>
        <v/>
      </c>
    </row>
    <row r="20" ht="30" customHeight="1">
      <c r="A20" s="6">
        <f>IF(LangSel="ES","Cada Accion Requerida tiene un Responsable y una Fecha Limite, y lo vencido se marca en rojo solo. El Responsable puede ser cualquiera: un vendedor, un colega, ingenieria, incluso el cliente. La responsabilidad es compartida, no impuesta desde arriba.","Every Required Action has an Owner and a Due Date, and past due turns red by itself. The Owner can be anyone: a salesperson, a colleague, engineering, even the customer. Accountability is shared, not top-down.")</f>
        <v/>
      </c>
    </row>
    <row r="22" ht="24" customHeight="1">
      <c r="A22" s="8">
        <f>IF(LangSel="ES","ESTA ES LA VERSION INICIAL","THIS IS THE STARTER VERSION")</f>
        <v/>
      </c>
    </row>
    <row r="23" ht="64" customHeight="1">
      <c r="A23" s="43">
        <f>IF(LangSel="ES",_xlfn._LONGTEXT("Pipeline Lite™ es el primer paso del sistema completo GENREV!™ Opportunity Pipeline que se usa dentro de los compromisos con clientes. El sistema completo va mucho mas alla del seguimiento: mide la calidad de cada negocio, no solo el tamano. Preserva la"," historia completa de cada gestion. Le muestra donde se esta quedando ingreso sin capturar. Vea la pestana Preview."),_xlfn._LONGTEXT("Pipeline Lite™ is step one of the full GENREV!™ Opportunity Pipeline system used inside client engagements. The full system goes well beyond tracking: it measures the quality of every deal, not just the size. It preserves the complete story of every pur","suit. It shows you where revenue is quietly being left behind. See the Preview tab for a look at it."))</f>
        <v/>
      </c>
    </row>
    <row r="25" ht="18" customHeight="1">
      <c r="A25" s="5">
        <f>IF(LangSel="ES","Que tan saludable es su proceso de ventas hoy?","How healthy is your sales process today?")</f>
        <v/>
      </c>
    </row>
    <row r="26" ht="26" customHeight="1">
      <c r="A26" s="6">
        <f>IF(LangSel="ES","El Sales Health Index™ es una autoevaluacion gratuita y privada. Toma 5 minutos, solo Chuck la ve, y los resultados son suyos.","The Sales Health Index™ is a free, private self-assessment. Takes 5 minutes, seen only by Chuck, and the results are yours to keep.")</f>
        <v/>
      </c>
    </row>
    <row r="27" ht="18" customHeight="1">
      <c r="A27" s="10" t="inlineStr">
        <is>
          <t>www.genrev.co</t>
        </is>
      </c>
    </row>
    <row r="29" ht="26" customHeight="1">
      <c r="A29" s="39">
        <f>IF(LangSel="ES","Este archivo viene sin proteger. Para proteger la estructura antes de compartirlo con un equipo: Revisar &gt; Proteger hoja en cualquier pestana, y agregue una contrasena si lo desea.","This file ships unlocked. To protect the structure before sharing it with a team: Review &gt; Protect Sheet on any tab, and add a password if you wish.")</f>
        <v/>
      </c>
    </row>
    <row r="31">
      <c r="A31" s="44" t="inlineStr">
        <is>
          <t>GENREV!™  |  All Rights Reserved  |  www.genrev.co  |  chuck@genrev.co  |  612-412-1341</t>
        </is>
      </c>
    </row>
  </sheetData>
  <dataValidations count="1">
    <dataValidation sqref="B1" showDropDown="0" showInputMessage="1" showErrorMessage="1" allowBlank="1" type="list">
      <formula1>"EN,ES"</formula1>
    </dataValidation>
  </dataValidations>
  <hyperlinks>
    <hyperlink xmlns:r="http://schemas.openxmlformats.org/officeDocument/2006/relationships" ref="A27" r:id="rId1"/>
  </hyperlinks>
  <pageMargins left="0.7" right="0.7" top="0.75" bottom="0.75" header="0.3" footer="0.3"/>
</worksheet>
</file>

<file path=xl/worksheets/sheet2.xml><?xml version="1.0" encoding="utf-8"?>
<worksheet xmlns="http://schemas.openxmlformats.org/spreadsheetml/2006/main">
  <sheetPr>
    <tabColor rgb="FF1F5C8B"/>
    <outlinePr summaryBelow="1" summaryRight="1"/>
    <pageSetUpPr/>
  </sheetPr>
  <dimension ref="A1:C35"/>
  <sheetViews>
    <sheetView workbookViewId="0">
      <selection activeCell="A1" sqref="A1"/>
    </sheetView>
  </sheetViews>
  <sheetFormatPr baseColWidth="8" defaultRowHeight="14.5"/>
  <cols>
    <col width="34.7265625" customWidth="1" min="1" max="1"/>
    <col width="3.7265625" customWidth="1" min="2" max="2"/>
    <col width="28.7265625" customWidth="1" min="3" max="3"/>
  </cols>
  <sheetData>
    <row r="1">
      <c r="A1" s="13">
        <f>IF(LangSel="ES","Ingrese sus valores una vez. Los menus del Pipeline toman datos de estas listas.","Enter your values once. The Pipeline dropdowns pull from these lists.")</f>
        <v/>
      </c>
    </row>
    <row r="3">
      <c r="A3" s="14">
        <f>IF(LangSel="ES","Tipos de Oportunidad (su equipo los define)","Opportunity Types (your team defines these)")</f>
        <v/>
      </c>
      <c r="C3" s="14">
        <f>IF(LangSel="ES","Vendedores","Salespeople")</f>
        <v/>
      </c>
    </row>
    <row r="4">
      <c r="A4" s="15" t="inlineStr">
        <is>
          <t>New Account</t>
        </is>
      </c>
      <c r="C4" s="15" t="n"/>
    </row>
    <row r="5">
      <c r="A5" s="15" t="inlineStr">
        <is>
          <t>New Product - Existing Account</t>
        </is>
      </c>
      <c r="C5" s="15" t="n"/>
    </row>
    <row r="6">
      <c r="A6" s="15" t="inlineStr">
        <is>
          <t>Expansion - Existing Product</t>
        </is>
      </c>
      <c r="C6" s="15" t="n"/>
    </row>
    <row r="7">
      <c r="A7" s="15" t="inlineStr">
        <is>
          <t>Win-Back</t>
        </is>
      </c>
      <c r="C7" s="15" t="n"/>
    </row>
    <row r="8">
      <c r="A8" s="15" t="n"/>
      <c r="C8" s="15" t="n"/>
    </row>
    <row r="9">
      <c r="A9" s="15" t="n"/>
      <c r="C9" s="15" t="n"/>
    </row>
    <row r="10">
      <c r="A10" s="15" t="n"/>
      <c r="C10" s="15" t="n"/>
    </row>
    <row r="11">
      <c r="A11" s="15" t="n"/>
      <c r="C11" s="15" t="n"/>
    </row>
    <row r="12">
      <c r="A12" s="15" t="n"/>
      <c r="C12" s="15" t="n"/>
    </row>
    <row r="13">
      <c r="A13" s="15" t="n"/>
      <c r="C13" s="15" t="n"/>
    </row>
    <row r="14">
      <c r="A14" s="15" t="n"/>
      <c r="C14" s="15" t="n"/>
    </row>
    <row r="15">
      <c r="A15" s="15" t="n"/>
      <c r="C15" s="15" t="n"/>
    </row>
    <row r="16">
      <c r="A16" s="15" t="n"/>
      <c r="C16" s="15" t="n"/>
    </row>
    <row r="17">
      <c r="A17" s="15" t="n"/>
      <c r="C17" s="15" t="n"/>
    </row>
    <row r="18">
      <c r="A18" s="15" t="n"/>
      <c r="C18" s="15" t="n"/>
    </row>
    <row r="19">
      <c r="A19" s="15" t="n"/>
      <c r="C19" s="15" t="n"/>
    </row>
    <row r="20">
      <c r="A20" s="15" t="n"/>
      <c r="C20" s="15" t="n"/>
    </row>
    <row r="21">
      <c r="A21" s="15" t="n"/>
      <c r="C21" s="15" t="n"/>
    </row>
    <row r="22">
      <c r="A22" s="15" t="n"/>
      <c r="C22" s="15" t="n"/>
    </row>
    <row r="23">
      <c r="A23" s="15" t="n"/>
      <c r="C23" s="15" t="n"/>
    </row>
    <row r="24">
      <c r="A24" s="15" t="n"/>
      <c r="C24" s="15" t="n"/>
    </row>
    <row r="25">
      <c r="A25" s="15" t="n"/>
      <c r="C25" s="15" t="n"/>
    </row>
    <row r="26">
      <c r="A26" s="15" t="n"/>
      <c r="C26" s="15" t="n"/>
    </row>
    <row r="27">
      <c r="A27" s="15" t="n"/>
      <c r="C27" s="15" t="n"/>
    </row>
    <row r="28">
      <c r="A28" s="15" t="n"/>
      <c r="C28" s="15" t="n"/>
    </row>
    <row r="29">
      <c r="A29" s="15" t="n"/>
      <c r="C29" s="15" t="n"/>
    </row>
    <row r="30">
      <c r="A30" s="15" t="n"/>
      <c r="C30" s="15" t="n"/>
    </row>
    <row r="31">
      <c r="A31" s="15" t="n"/>
      <c r="C31" s="15" t="n"/>
    </row>
    <row r="32">
      <c r="A32" s="15" t="n"/>
      <c r="C32" s="15" t="n"/>
    </row>
    <row r="33">
      <c r="A33" s="15" t="n"/>
      <c r="C33" s="15" t="n"/>
    </row>
    <row r="35" ht="36" customHeight="1">
      <c r="A35" s="39">
        <f>IF(LangSel="ES","Consejo: los cuatro Tipos de Oportunidad de arriba son puntos de partida comunes. Editelos para que reflejen como SU negocio piensa el crecimiento.","Tip: the four Opportunity Types above are common starting points. Edit them to match how YOUR business thinks about growth.")</f>
        <v/>
      </c>
    </row>
  </sheetData>
  <sheetProtection selectLockedCells="0" selectUnlockedCells="0" sheet="1" objects="1" insertRows="1" insertHyperlinks="1" autoFilter="1" scenarios="1" formatColumns="1" deleteColumns="1" insertColumns="1" pivotTables="1" deleteRows="1" formatCells="0" formatRows="1" sort="1"/>
  <pageMargins left="0.7" right="0.7" top="0.75" bottom="0.75" header="0.3" footer="0.3"/>
</worksheet>
</file>

<file path=xl/worksheets/sheet3.xml><?xml version="1.0" encoding="utf-8"?>
<worksheet xmlns="http://schemas.openxmlformats.org/spreadsheetml/2006/main">
  <sheetPr>
    <tabColor rgb="FFC9963A"/>
    <outlinePr summaryBelow="1" summaryRight="1"/>
    <pageSetUpPr/>
  </sheetPr>
  <dimension ref="A1:O54"/>
  <sheetViews>
    <sheetView workbookViewId="0">
      <pane ySplit="3" topLeftCell="A4" activePane="bottomLeft" state="frozen"/>
      <selection pane="bottomLeft" activeCell="A1" sqref="A1:G1"/>
    </sheetView>
  </sheetViews>
  <sheetFormatPr baseColWidth="8" defaultRowHeight="14.5"/>
  <cols>
    <col width="22.7265625" customWidth="1" min="1" max="1"/>
    <col width="24.7265625" customWidth="1" min="2" max="2"/>
    <col width="22.7265625" customWidth="1" min="3" max="3"/>
    <col width="16.7265625" customWidth="1" min="4" max="4"/>
    <col width="15.7265625" customWidth="1" min="5" max="5"/>
    <col width="12.7265625" customWidth="1" min="6" max="6"/>
    <col width="14.7265625" customWidth="1" min="7" max="7"/>
    <col width="17.7265625" customWidth="1" min="8" max="8"/>
    <col width="14.7265625" customWidth="1" min="9" max="11"/>
    <col width="34.7265625" customWidth="1" min="12" max="12"/>
    <col width="28.7265625" customWidth="1" min="13" max="13"/>
    <col width="18.7265625" customWidth="1" min="14" max="14"/>
    <col width="15.7265625" customWidth="1" min="15" max="15"/>
  </cols>
  <sheetData>
    <row r="1" ht="20" customHeight="1">
      <c r="A1" s="38">
        <f>IF(LangSel="ES","TOTALES GENERALES (auto)","GRAND TOTALS (auto)")</f>
        <v/>
      </c>
      <c r="H1" s="16">
        <f>SUM(H4:H53)</f>
        <v/>
      </c>
      <c r="I1" s="16">
        <f>SUM(I4:I53)</f>
        <v/>
      </c>
      <c r="J1" s="17" t="n"/>
      <c r="K1" s="17" t="n"/>
      <c r="L1" s="17" t="n"/>
      <c r="M1" s="17" t="n"/>
      <c r="N1" s="17" t="n"/>
      <c r="O1" s="17" t="n"/>
    </row>
    <row r="2" ht="36" customHeight="1">
      <c r="A2" s="18">
        <f>IF(LangSel="ES","Cliente","Customer")</f>
        <v/>
      </c>
      <c r="B2" s="18">
        <f>IF(LangSel="ES","Nombre de Oportunidad","Opportunity Name")</f>
        <v/>
      </c>
      <c r="C2" s="18">
        <f>IF(LangSel="ES","Tipo de Oportunidad","Opportunity Type")</f>
        <v/>
      </c>
      <c r="D2" s="18">
        <f>IF(LangSel="ES","Vendedor","Salesperson")</f>
        <v/>
      </c>
      <c r="E2" s="18">
        <f>IF(LangSel="ES","Estado","Status")</f>
        <v/>
      </c>
      <c r="F2" s="18">
        <f>IF(LangSel="ES","Probabilidad %","Probability %")</f>
        <v/>
      </c>
      <c r="G2" s="18">
        <f>IF(LangSel="ES","Fecha Inicio","Project Start Date")</f>
        <v/>
      </c>
      <c r="H2" s="18">
        <f>IF(LangSel="ES","Potencial Anual Est.","Est. Annual Potential")</f>
        <v/>
      </c>
      <c r="I2" s="18">
        <f>IF(LangSel="ES","Valor Est. Ano 1","Yr. 1 Est. Value")</f>
        <v/>
      </c>
      <c r="J2" s="18">
        <f>IF(LangSel="ES","Ultimo Contacto","Last Contact Date")</f>
        <v/>
      </c>
      <c r="K2" s="18">
        <f>IF(LangSel="ES","Proximo Contacto","Next Contact Date")</f>
        <v/>
      </c>
      <c r="L2" s="18">
        <f>IF(LangSel="ES","Notas","Notes")</f>
        <v/>
      </c>
      <c r="M2" s="19">
        <f>IF(LangSel="ES","Accion Requerida","Required Action")</f>
        <v/>
      </c>
      <c r="N2" s="19">
        <f>IF(LangSel="ES","Responsable de Accion","Action Owner")</f>
        <v/>
      </c>
      <c r="O2" s="19">
        <f>IF(LangSel="ES","Fecha Limite Accion","Action Due Date")</f>
        <v/>
      </c>
    </row>
    <row r="3" ht="20" customHeight="1">
      <c r="A3" s="39">
        <f>IF(LangSel="ES","La fila 4 es un ejemplo - borrela antes de usar. Morado = responsabilidad de la accion (Quien / Cuando). Si Estado = Perdido o En Espera, diga por que en Notas. Nunca borre filas.","Row 4 is an example - delete it before real use. Purple = action accountability (Who / When). If Status = Lost or On Hold, say why in Notes. Never delete rows.")</f>
        <v/>
      </c>
    </row>
    <row r="4">
      <c r="A4" s="20" t="inlineStr">
        <is>
          <t>Acme Industrial</t>
        </is>
      </c>
      <c r="B4" s="20" t="inlineStr">
        <is>
          <t>New Pump Line</t>
        </is>
      </c>
      <c r="C4" s="20" t="inlineStr">
        <is>
          <t>New Account</t>
        </is>
      </c>
      <c r="D4" s="20" t="inlineStr">
        <is>
          <t>J. Smith</t>
        </is>
      </c>
      <c r="E4" s="20" t="inlineStr">
        <is>
          <t>Pipeline / En Curso</t>
        </is>
      </c>
      <c r="F4" s="21" t="n">
        <v>0.5</v>
      </c>
      <c r="G4" s="22" t="n">
        <v>46266</v>
      </c>
      <c r="H4" s="23" t="n">
        <v>250000</v>
      </c>
      <c r="I4" s="23" t="n">
        <v>60000</v>
      </c>
      <c r="J4" s="22" t="n">
        <v>46204</v>
      </c>
      <c r="K4" s="22" t="n">
        <v>46218</v>
      </c>
      <c r="L4" s="20" t="inlineStr">
        <is>
          <t>7/1: Met with plant manager, strong interest.</t>
        </is>
      </c>
      <c r="M4" s="20" t="inlineStr">
        <is>
          <t>Send formal quote</t>
        </is>
      </c>
      <c r="N4" s="20" t="inlineStr">
        <is>
          <t>J. Smith</t>
        </is>
      </c>
      <c r="O4" s="22" t="n">
        <v>46218</v>
      </c>
    </row>
    <row r="5">
      <c r="A5" s="24" t="n"/>
      <c r="B5" s="24" t="n"/>
      <c r="C5" s="24" t="n"/>
      <c r="D5" s="24" t="n"/>
      <c r="E5" s="24" t="n"/>
      <c r="F5" s="25" t="n"/>
      <c r="G5" s="26" t="n"/>
      <c r="H5" s="27" t="n"/>
      <c r="I5" s="27" t="n"/>
      <c r="J5" s="26" t="n"/>
      <c r="K5" s="26" t="n"/>
      <c r="L5" s="28" t="n"/>
      <c r="M5" s="28" t="n"/>
      <c r="N5" s="24" t="n"/>
      <c r="O5" s="26" t="n"/>
    </row>
    <row r="6">
      <c r="A6" s="29" t="n"/>
      <c r="B6" s="29" t="n"/>
      <c r="C6" s="29" t="n"/>
      <c r="D6" s="29" t="n"/>
      <c r="E6" s="29" t="n"/>
      <c r="F6" s="30" t="n"/>
      <c r="G6" s="31" t="n"/>
      <c r="H6" s="32" t="n"/>
      <c r="I6" s="32" t="n"/>
      <c r="J6" s="31" t="n"/>
      <c r="K6" s="31" t="n"/>
      <c r="L6" s="33" t="n"/>
      <c r="M6" s="33" t="n"/>
      <c r="N6" s="29" t="n"/>
      <c r="O6" s="31" t="n"/>
    </row>
    <row r="7">
      <c r="A7" s="24" t="n"/>
      <c r="B7" s="24" t="n"/>
      <c r="C7" s="24" t="n"/>
      <c r="D7" s="24" t="n"/>
      <c r="E7" s="24" t="n"/>
      <c r="F7" s="25" t="n"/>
      <c r="G7" s="26" t="n"/>
      <c r="H7" s="27" t="n"/>
      <c r="I7" s="27" t="n"/>
      <c r="J7" s="26" t="n"/>
      <c r="K7" s="26" t="n"/>
      <c r="L7" s="28" t="n"/>
      <c r="M7" s="28" t="n"/>
      <c r="N7" s="24" t="n"/>
      <c r="O7" s="26" t="n"/>
    </row>
    <row r="8">
      <c r="A8" s="29" t="n"/>
      <c r="B8" s="29" t="n"/>
      <c r="C8" s="29" t="n"/>
      <c r="D8" s="29" t="n"/>
      <c r="E8" s="29" t="n"/>
      <c r="F8" s="30" t="n"/>
      <c r="G8" s="31" t="n"/>
      <c r="H8" s="32" t="n"/>
      <c r="I8" s="32" t="n"/>
      <c r="J8" s="31" t="n"/>
      <c r="K8" s="31" t="n"/>
      <c r="L8" s="33" t="n"/>
      <c r="M8" s="33" t="n"/>
      <c r="N8" s="29" t="n"/>
      <c r="O8" s="31" t="n"/>
    </row>
    <row r="9">
      <c r="A9" s="24" t="n"/>
      <c r="B9" s="24" t="n"/>
      <c r="C9" s="24" t="n"/>
      <c r="D9" s="24" t="n"/>
      <c r="E9" s="24" t="n"/>
      <c r="F9" s="25" t="n"/>
      <c r="G9" s="26" t="n"/>
      <c r="H9" s="27" t="n"/>
      <c r="I9" s="27" t="n"/>
      <c r="J9" s="26" t="n"/>
      <c r="K9" s="26" t="n"/>
      <c r="L9" s="28" t="n"/>
      <c r="M9" s="28" t="n"/>
      <c r="N9" s="24" t="n"/>
      <c r="O9" s="26" t="n"/>
    </row>
    <row r="10">
      <c r="A10" s="29" t="n"/>
      <c r="B10" s="29" t="n"/>
      <c r="C10" s="29" t="n"/>
      <c r="D10" s="29" t="n"/>
      <c r="E10" s="29" t="n"/>
      <c r="F10" s="30" t="n"/>
      <c r="G10" s="31" t="n"/>
      <c r="H10" s="32" t="n"/>
      <c r="I10" s="32" t="n"/>
      <c r="J10" s="31" t="n"/>
      <c r="K10" s="31" t="n"/>
      <c r="L10" s="33" t="n"/>
      <c r="M10" s="33" t="n"/>
      <c r="N10" s="29" t="n"/>
      <c r="O10" s="31" t="n"/>
    </row>
    <row r="11">
      <c r="A11" s="24" t="n"/>
      <c r="B11" s="24" t="n"/>
      <c r="C11" s="24" t="n"/>
      <c r="D11" s="24" t="n"/>
      <c r="E11" s="24" t="n"/>
      <c r="F11" s="25" t="n"/>
      <c r="G11" s="26" t="n"/>
      <c r="H11" s="27" t="n"/>
      <c r="I11" s="27" t="n"/>
      <c r="J11" s="26" t="n"/>
      <c r="K11" s="26" t="n"/>
      <c r="L11" s="28" t="n"/>
      <c r="M11" s="28" t="n"/>
      <c r="N11" s="24" t="n"/>
      <c r="O11" s="26" t="n"/>
    </row>
    <row r="12">
      <c r="A12" s="29" t="n"/>
      <c r="B12" s="29" t="n"/>
      <c r="C12" s="29" t="n"/>
      <c r="D12" s="29" t="n"/>
      <c r="E12" s="29" t="n"/>
      <c r="F12" s="30" t="n"/>
      <c r="G12" s="31" t="n"/>
      <c r="H12" s="32" t="n"/>
      <c r="I12" s="32" t="n"/>
      <c r="J12" s="31" t="n"/>
      <c r="K12" s="31" t="n"/>
      <c r="L12" s="33" t="n"/>
      <c r="M12" s="33" t="n"/>
      <c r="N12" s="29" t="n"/>
      <c r="O12" s="31" t="n"/>
    </row>
    <row r="13">
      <c r="A13" s="24" t="n"/>
      <c r="B13" s="24" t="n"/>
      <c r="C13" s="24" t="n"/>
      <c r="D13" s="24" t="n"/>
      <c r="E13" s="24" t="n"/>
      <c r="F13" s="25" t="n"/>
      <c r="G13" s="26" t="n"/>
      <c r="H13" s="27" t="n"/>
      <c r="I13" s="27" t="n"/>
      <c r="J13" s="26" t="n"/>
      <c r="K13" s="26" t="n"/>
      <c r="L13" s="28" t="n"/>
      <c r="M13" s="28" t="n"/>
      <c r="N13" s="24" t="n"/>
      <c r="O13" s="26" t="n"/>
    </row>
    <row r="14">
      <c r="A14" s="29" t="n"/>
      <c r="B14" s="29" t="n"/>
      <c r="C14" s="29" t="n"/>
      <c r="D14" s="29" t="n"/>
      <c r="E14" s="29" t="n"/>
      <c r="F14" s="30" t="n"/>
      <c r="G14" s="31" t="n"/>
      <c r="H14" s="32" t="n"/>
      <c r="I14" s="32" t="n"/>
      <c r="J14" s="31" t="n"/>
      <c r="K14" s="31" t="n"/>
      <c r="L14" s="33" t="n"/>
      <c r="M14" s="33" t="n"/>
      <c r="N14" s="29" t="n"/>
      <c r="O14" s="31" t="n"/>
    </row>
    <row r="15">
      <c r="A15" s="24" t="n"/>
      <c r="B15" s="24" t="n"/>
      <c r="C15" s="24" t="n"/>
      <c r="D15" s="24" t="n"/>
      <c r="E15" s="24" t="n"/>
      <c r="F15" s="25" t="n"/>
      <c r="G15" s="26" t="n"/>
      <c r="H15" s="27" t="n"/>
      <c r="I15" s="27" t="n"/>
      <c r="J15" s="26" t="n"/>
      <c r="K15" s="26" t="n"/>
      <c r="L15" s="28" t="n"/>
      <c r="M15" s="28" t="n"/>
      <c r="N15" s="24" t="n"/>
      <c r="O15" s="26" t="n"/>
    </row>
    <row r="16">
      <c r="A16" s="29" t="n"/>
      <c r="B16" s="29" t="n"/>
      <c r="C16" s="29" t="n"/>
      <c r="D16" s="29" t="n"/>
      <c r="E16" s="29" t="n"/>
      <c r="F16" s="30" t="n"/>
      <c r="G16" s="31" t="n"/>
      <c r="H16" s="32" t="n"/>
      <c r="I16" s="32" t="n"/>
      <c r="J16" s="31" t="n"/>
      <c r="K16" s="31" t="n"/>
      <c r="L16" s="33" t="n"/>
      <c r="M16" s="33" t="n"/>
      <c r="N16" s="29" t="n"/>
      <c r="O16" s="31" t="n"/>
    </row>
    <row r="17">
      <c r="A17" s="24" t="n"/>
      <c r="B17" s="24" t="n"/>
      <c r="C17" s="24" t="n"/>
      <c r="D17" s="24" t="n"/>
      <c r="E17" s="24" t="n"/>
      <c r="F17" s="25" t="n"/>
      <c r="G17" s="26" t="n"/>
      <c r="H17" s="27" t="n"/>
      <c r="I17" s="27" t="n"/>
      <c r="J17" s="26" t="n"/>
      <c r="K17" s="26" t="n"/>
      <c r="L17" s="28" t="n"/>
      <c r="M17" s="28" t="n"/>
      <c r="N17" s="24" t="n"/>
      <c r="O17" s="26" t="n"/>
    </row>
    <row r="18">
      <c r="A18" s="29" t="n"/>
      <c r="B18" s="29" t="n"/>
      <c r="C18" s="29" t="n"/>
      <c r="D18" s="29" t="n"/>
      <c r="E18" s="29" t="n"/>
      <c r="F18" s="30" t="n"/>
      <c r="G18" s="31" t="n"/>
      <c r="H18" s="32" t="n"/>
      <c r="I18" s="32" t="n"/>
      <c r="J18" s="31" t="n"/>
      <c r="K18" s="31" t="n"/>
      <c r="L18" s="33" t="n"/>
      <c r="M18" s="33" t="n"/>
      <c r="N18" s="29" t="n"/>
      <c r="O18" s="31" t="n"/>
    </row>
    <row r="19">
      <c r="A19" s="24" t="n"/>
      <c r="B19" s="24" t="n"/>
      <c r="C19" s="24" t="n"/>
      <c r="D19" s="24" t="n"/>
      <c r="E19" s="24" t="n"/>
      <c r="F19" s="25" t="n"/>
      <c r="G19" s="26" t="n"/>
      <c r="H19" s="27" t="n"/>
      <c r="I19" s="27" t="n"/>
      <c r="J19" s="26" t="n"/>
      <c r="K19" s="26" t="n"/>
      <c r="L19" s="28" t="n"/>
      <c r="M19" s="28" t="n"/>
      <c r="N19" s="24" t="n"/>
      <c r="O19" s="26" t="n"/>
    </row>
    <row r="20">
      <c r="A20" s="29" t="n"/>
      <c r="B20" s="29" t="n"/>
      <c r="C20" s="29" t="n"/>
      <c r="D20" s="29" t="n"/>
      <c r="E20" s="29" t="n"/>
      <c r="F20" s="30" t="n"/>
      <c r="G20" s="31" t="n"/>
      <c r="H20" s="32" t="n"/>
      <c r="I20" s="32" t="n"/>
      <c r="J20" s="31" t="n"/>
      <c r="K20" s="31" t="n"/>
      <c r="L20" s="33" t="n"/>
      <c r="M20" s="33" t="n"/>
      <c r="N20" s="29" t="n"/>
      <c r="O20" s="31" t="n"/>
    </row>
    <row r="21">
      <c r="A21" s="24" t="n"/>
      <c r="B21" s="24" t="n"/>
      <c r="C21" s="24" t="n"/>
      <c r="D21" s="24" t="n"/>
      <c r="E21" s="24" t="n"/>
      <c r="F21" s="25" t="n"/>
      <c r="G21" s="26" t="n"/>
      <c r="H21" s="27" t="n"/>
      <c r="I21" s="27" t="n"/>
      <c r="J21" s="26" t="n"/>
      <c r="K21" s="26" t="n"/>
      <c r="L21" s="28" t="n"/>
      <c r="M21" s="28" t="n"/>
      <c r="N21" s="24" t="n"/>
      <c r="O21" s="26" t="n"/>
    </row>
    <row r="22">
      <c r="A22" s="29" t="n"/>
      <c r="B22" s="29" t="n"/>
      <c r="C22" s="29" t="n"/>
      <c r="D22" s="29" t="n"/>
      <c r="E22" s="29" t="n"/>
      <c r="F22" s="30" t="n"/>
      <c r="G22" s="31" t="n"/>
      <c r="H22" s="32" t="n"/>
      <c r="I22" s="32" t="n"/>
      <c r="J22" s="31" t="n"/>
      <c r="K22" s="31" t="n"/>
      <c r="L22" s="33" t="n"/>
      <c r="M22" s="33" t="n"/>
      <c r="N22" s="29" t="n"/>
      <c r="O22" s="31" t="n"/>
    </row>
    <row r="23">
      <c r="A23" s="24" t="n"/>
      <c r="B23" s="24" t="n"/>
      <c r="C23" s="24" t="n"/>
      <c r="D23" s="24" t="n"/>
      <c r="E23" s="24" t="n"/>
      <c r="F23" s="25" t="n"/>
      <c r="G23" s="26" t="n"/>
      <c r="H23" s="27" t="n"/>
      <c r="I23" s="27" t="n"/>
      <c r="J23" s="26" t="n"/>
      <c r="K23" s="26" t="n"/>
      <c r="L23" s="28" t="n"/>
      <c r="M23" s="28" t="n"/>
      <c r="N23" s="24" t="n"/>
      <c r="O23" s="26" t="n"/>
    </row>
    <row r="24">
      <c r="A24" s="29" t="n"/>
      <c r="B24" s="29" t="n"/>
      <c r="C24" s="29" t="n"/>
      <c r="D24" s="29" t="n"/>
      <c r="E24" s="29" t="n"/>
      <c r="F24" s="30" t="n"/>
      <c r="G24" s="31" t="n"/>
      <c r="H24" s="32" t="n"/>
      <c r="I24" s="32" t="n"/>
      <c r="J24" s="31" t="n"/>
      <c r="K24" s="31" t="n"/>
      <c r="L24" s="33" t="n"/>
      <c r="M24" s="33" t="n"/>
      <c r="N24" s="29" t="n"/>
      <c r="O24" s="31" t="n"/>
    </row>
    <row r="25">
      <c r="A25" s="24" t="n"/>
      <c r="B25" s="24" t="n"/>
      <c r="C25" s="24" t="n"/>
      <c r="D25" s="24" t="n"/>
      <c r="E25" s="24" t="n"/>
      <c r="F25" s="25" t="n"/>
      <c r="G25" s="26" t="n"/>
      <c r="H25" s="27" t="n"/>
      <c r="I25" s="27" t="n"/>
      <c r="J25" s="26" t="n"/>
      <c r="K25" s="26" t="n"/>
      <c r="L25" s="28" t="n"/>
      <c r="M25" s="28" t="n"/>
      <c r="N25" s="24" t="n"/>
      <c r="O25" s="26" t="n"/>
    </row>
    <row r="26">
      <c r="A26" s="29" t="n"/>
      <c r="B26" s="29" t="n"/>
      <c r="C26" s="29" t="n"/>
      <c r="D26" s="29" t="n"/>
      <c r="E26" s="29" t="n"/>
      <c r="F26" s="30" t="n"/>
      <c r="G26" s="31" t="n"/>
      <c r="H26" s="32" t="n"/>
      <c r="I26" s="32" t="n"/>
      <c r="J26" s="31" t="n"/>
      <c r="K26" s="31" t="n"/>
      <c r="L26" s="33" t="n"/>
      <c r="M26" s="33" t="n"/>
      <c r="N26" s="29" t="n"/>
      <c r="O26" s="31" t="n"/>
    </row>
    <row r="27">
      <c r="A27" s="24" t="n"/>
      <c r="B27" s="24" t="n"/>
      <c r="C27" s="24" t="n"/>
      <c r="D27" s="24" t="n"/>
      <c r="E27" s="24" t="n"/>
      <c r="F27" s="25" t="n"/>
      <c r="G27" s="26" t="n"/>
      <c r="H27" s="27" t="n"/>
      <c r="I27" s="27" t="n"/>
      <c r="J27" s="26" t="n"/>
      <c r="K27" s="26" t="n"/>
      <c r="L27" s="28" t="n"/>
      <c r="M27" s="28" t="n"/>
      <c r="N27" s="24" t="n"/>
      <c r="O27" s="26" t="n"/>
    </row>
    <row r="28">
      <c r="A28" s="29" t="n"/>
      <c r="B28" s="29" t="n"/>
      <c r="C28" s="29" t="n"/>
      <c r="D28" s="29" t="n"/>
      <c r="E28" s="29" t="n"/>
      <c r="F28" s="30" t="n"/>
      <c r="G28" s="31" t="n"/>
      <c r="H28" s="32" t="n"/>
      <c r="I28" s="32" t="n"/>
      <c r="J28" s="31" t="n"/>
      <c r="K28" s="31" t="n"/>
      <c r="L28" s="33" t="n"/>
      <c r="M28" s="33" t="n"/>
      <c r="N28" s="29" t="n"/>
      <c r="O28" s="31" t="n"/>
    </row>
    <row r="29">
      <c r="A29" s="24" t="n"/>
      <c r="B29" s="24" t="n"/>
      <c r="C29" s="24" t="n"/>
      <c r="D29" s="24" t="n"/>
      <c r="E29" s="24" t="n"/>
      <c r="F29" s="25" t="n"/>
      <c r="G29" s="26" t="n"/>
      <c r="H29" s="27" t="n"/>
      <c r="I29" s="27" t="n"/>
      <c r="J29" s="26" t="n"/>
      <c r="K29" s="26" t="n"/>
      <c r="L29" s="28" t="n"/>
      <c r="M29" s="28" t="n"/>
      <c r="N29" s="24" t="n"/>
      <c r="O29" s="26" t="n"/>
    </row>
    <row r="30">
      <c r="A30" s="29" t="n"/>
      <c r="B30" s="29" t="n"/>
      <c r="C30" s="29" t="n"/>
      <c r="D30" s="29" t="n"/>
      <c r="E30" s="29" t="n"/>
      <c r="F30" s="30" t="n"/>
      <c r="G30" s="31" t="n"/>
      <c r="H30" s="32" t="n"/>
      <c r="I30" s="32" t="n"/>
      <c r="J30" s="31" t="n"/>
      <c r="K30" s="31" t="n"/>
      <c r="L30" s="33" t="n"/>
      <c r="M30" s="33" t="n"/>
      <c r="N30" s="29" t="n"/>
      <c r="O30" s="31" t="n"/>
    </row>
    <row r="31">
      <c r="A31" s="24" t="n"/>
      <c r="B31" s="24" t="n"/>
      <c r="C31" s="24" t="n"/>
      <c r="D31" s="24" t="n"/>
      <c r="E31" s="24" t="n"/>
      <c r="F31" s="25" t="n"/>
      <c r="G31" s="26" t="n"/>
      <c r="H31" s="27" t="n"/>
      <c r="I31" s="27" t="n"/>
      <c r="J31" s="26" t="n"/>
      <c r="K31" s="26" t="n"/>
      <c r="L31" s="28" t="n"/>
      <c r="M31" s="28" t="n"/>
      <c r="N31" s="24" t="n"/>
      <c r="O31" s="26" t="n"/>
    </row>
    <row r="32">
      <c r="A32" s="29" t="n"/>
      <c r="B32" s="29" t="n"/>
      <c r="C32" s="29" t="n"/>
      <c r="D32" s="29" t="n"/>
      <c r="E32" s="29" t="n"/>
      <c r="F32" s="30" t="n"/>
      <c r="G32" s="31" t="n"/>
      <c r="H32" s="32" t="n"/>
      <c r="I32" s="32" t="n"/>
      <c r="J32" s="31" t="n"/>
      <c r="K32" s="31" t="n"/>
      <c r="L32" s="33" t="n"/>
      <c r="M32" s="33" t="n"/>
      <c r="N32" s="29" t="n"/>
      <c r="O32" s="31" t="n"/>
    </row>
    <row r="33">
      <c r="A33" s="24" t="n"/>
      <c r="B33" s="24" t="n"/>
      <c r="C33" s="24" t="n"/>
      <c r="D33" s="24" t="n"/>
      <c r="E33" s="24" t="n"/>
      <c r="F33" s="25" t="n"/>
      <c r="G33" s="26" t="n"/>
      <c r="H33" s="27" t="n"/>
      <c r="I33" s="27" t="n"/>
      <c r="J33" s="26" t="n"/>
      <c r="K33" s="26" t="n"/>
      <c r="L33" s="28" t="n"/>
      <c r="M33" s="28" t="n"/>
      <c r="N33" s="24" t="n"/>
      <c r="O33" s="26" t="n"/>
    </row>
    <row r="34">
      <c r="A34" s="29" t="n"/>
      <c r="B34" s="29" t="n"/>
      <c r="C34" s="29" t="n"/>
      <c r="D34" s="29" t="n"/>
      <c r="E34" s="29" t="n"/>
      <c r="F34" s="30" t="n"/>
      <c r="G34" s="31" t="n"/>
      <c r="H34" s="32" t="n"/>
      <c r="I34" s="32" t="n"/>
      <c r="J34" s="31" t="n"/>
      <c r="K34" s="31" t="n"/>
      <c r="L34" s="33" t="n"/>
      <c r="M34" s="33" t="n"/>
      <c r="N34" s="29" t="n"/>
      <c r="O34" s="31" t="n"/>
    </row>
    <row r="35">
      <c r="A35" s="24" t="n"/>
      <c r="B35" s="24" t="n"/>
      <c r="C35" s="24" t="n"/>
      <c r="D35" s="24" t="n"/>
      <c r="E35" s="24" t="n"/>
      <c r="F35" s="25" t="n"/>
      <c r="G35" s="26" t="n"/>
      <c r="H35" s="27" t="n"/>
      <c r="I35" s="27" t="n"/>
      <c r="J35" s="26" t="n"/>
      <c r="K35" s="26" t="n"/>
      <c r="L35" s="28" t="n"/>
      <c r="M35" s="28" t="n"/>
      <c r="N35" s="24" t="n"/>
      <c r="O35" s="26" t="n"/>
    </row>
    <row r="36">
      <c r="A36" s="29" t="n"/>
      <c r="B36" s="29" t="n"/>
      <c r="C36" s="29" t="n"/>
      <c r="D36" s="29" t="n"/>
      <c r="E36" s="29" t="n"/>
      <c r="F36" s="30" t="n"/>
      <c r="G36" s="31" t="n"/>
      <c r="H36" s="32" t="n"/>
      <c r="I36" s="32" t="n"/>
      <c r="J36" s="31" t="n"/>
      <c r="K36" s="31" t="n"/>
      <c r="L36" s="33" t="n"/>
      <c r="M36" s="33" t="n"/>
      <c r="N36" s="29" t="n"/>
      <c r="O36" s="31" t="n"/>
    </row>
    <row r="37">
      <c r="A37" s="24" t="n"/>
      <c r="B37" s="24" t="n"/>
      <c r="C37" s="24" t="n"/>
      <c r="D37" s="24" t="n"/>
      <c r="E37" s="24" t="n"/>
      <c r="F37" s="25" t="n"/>
      <c r="G37" s="26" t="n"/>
      <c r="H37" s="27" t="n"/>
      <c r="I37" s="27" t="n"/>
      <c r="J37" s="26" t="n"/>
      <c r="K37" s="26" t="n"/>
      <c r="L37" s="28" t="n"/>
      <c r="M37" s="28" t="n"/>
      <c r="N37" s="24" t="n"/>
      <c r="O37" s="26" t="n"/>
    </row>
    <row r="38">
      <c r="A38" s="29" t="n"/>
      <c r="B38" s="29" t="n"/>
      <c r="C38" s="29" t="n"/>
      <c r="D38" s="29" t="n"/>
      <c r="E38" s="29" t="n"/>
      <c r="F38" s="30" t="n"/>
      <c r="G38" s="31" t="n"/>
      <c r="H38" s="32" t="n"/>
      <c r="I38" s="32" t="n"/>
      <c r="J38" s="31" t="n"/>
      <c r="K38" s="31" t="n"/>
      <c r="L38" s="33" t="n"/>
      <c r="M38" s="33" t="n"/>
      <c r="N38" s="29" t="n"/>
      <c r="O38" s="31" t="n"/>
    </row>
    <row r="39">
      <c r="A39" s="24" t="n"/>
      <c r="B39" s="24" t="n"/>
      <c r="C39" s="24" t="n"/>
      <c r="D39" s="24" t="n"/>
      <c r="E39" s="24" t="n"/>
      <c r="F39" s="25" t="n"/>
      <c r="G39" s="26" t="n"/>
      <c r="H39" s="27" t="n"/>
      <c r="I39" s="27" t="n"/>
      <c r="J39" s="26" t="n"/>
      <c r="K39" s="26" t="n"/>
      <c r="L39" s="28" t="n"/>
      <c r="M39" s="28" t="n"/>
      <c r="N39" s="24" t="n"/>
      <c r="O39" s="26" t="n"/>
    </row>
    <row r="40">
      <c r="A40" s="29" t="n"/>
      <c r="B40" s="29" t="n"/>
      <c r="C40" s="29" t="n"/>
      <c r="D40" s="29" t="n"/>
      <c r="E40" s="29" t="n"/>
      <c r="F40" s="30" t="n"/>
      <c r="G40" s="31" t="n"/>
      <c r="H40" s="32" t="n"/>
      <c r="I40" s="32" t="n"/>
      <c r="J40" s="31" t="n"/>
      <c r="K40" s="31" t="n"/>
      <c r="L40" s="33" t="n"/>
      <c r="M40" s="33" t="n"/>
      <c r="N40" s="29" t="n"/>
      <c r="O40" s="31" t="n"/>
    </row>
    <row r="41">
      <c r="A41" s="24" t="n"/>
      <c r="B41" s="24" t="n"/>
      <c r="C41" s="24" t="n"/>
      <c r="D41" s="24" t="n"/>
      <c r="E41" s="24" t="n"/>
      <c r="F41" s="25" t="n"/>
      <c r="G41" s="26" t="n"/>
      <c r="H41" s="27" t="n"/>
      <c r="I41" s="27" t="n"/>
      <c r="J41" s="26" t="n"/>
      <c r="K41" s="26" t="n"/>
      <c r="L41" s="28" t="n"/>
      <c r="M41" s="28" t="n"/>
      <c r="N41" s="24" t="n"/>
      <c r="O41" s="26" t="n"/>
    </row>
    <row r="42">
      <c r="A42" s="29" t="n"/>
      <c r="B42" s="29" t="n"/>
      <c r="C42" s="29" t="n"/>
      <c r="D42" s="29" t="n"/>
      <c r="E42" s="29" t="n"/>
      <c r="F42" s="30" t="n"/>
      <c r="G42" s="31" t="n"/>
      <c r="H42" s="32" t="n"/>
      <c r="I42" s="32" t="n"/>
      <c r="J42" s="31" t="n"/>
      <c r="K42" s="31" t="n"/>
      <c r="L42" s="33" t="n"/>
      <c r="M42" s="33" t="n"/>
      <c r="N42" s="29" t="n"/>
      <c r="O42" s="31" t="n"/>
    </row>
    <row r="43">
      <c r="A43" s="24" t="n"/>
      <c r="B43" s="24" t="n"/>
      <c r="C43" s="24" t="n"/>
      <c r="D43" s="24" t="n"/>
      <c r="E43" s="24" t="n"/>
      <c r="F43" s="25" t="n"/>
      <c r="G43" s="26" t="n"/>
      <c r="H43" s="27" t="n"/>
      <c r="I43" s="27" t="n"/>
      <c r="J43" s="26" t="n"/>
      <c r="K43" s="26" t="n"/>
      <c r="L43" s="28" t="n"/>
      <c r="M43" s="28" t="n"/>
      <c r="N43" s="24" t="n"/>
      <c r="O43" s="26" t="n"/>
    </row>
    <row r="44">
      <c r="A44" s="29" t="n"/>
      <c r="B44" s="29" t="n"/>
      <c r="C44" s="29" t="n"/>
      <c r="D44" s="29" t="n"/>
      <c r="E44" s="29" t="n"/>
      <c r="F44" s="30" t="n"/>
      <c r="G44" s="31" t="n"/>
      <c r="H44" s="32" t="n"/>
      <c r="I44" s="32" t="n"/>
      <c r="J44" s="31" t="n"/>
      <c r="K44" s="31" t="n"/>
      <c r="L44" s="33" t="n"/>
      <c r="M44" s="33" t="n"/>
      <c r="N44" s="29" t="n"/>
      <c r="O44" s="31" t="n"/>
    </row>
    <row r="45">
      <c r="A45" s="24" t="n"/>
      <c r="B45" s="24" t="n"/>
      <c r="C45" s="24" t="n"/>
      <c r="D45" s="24" t="n"/>
      <c r="E45" s="24" t="n"/>
      <c r="F45" s="25" t="n"/>
      <c r="G45" s="26" t="n"/>
      <c r="H45" s="27" t="n"/>
      <c r="I45" s="27" t="n"/>
      <c r="J45" s="26" t="n"/>
      <c r="K45" s="26" t="n"/>
      <c r="L45" s="28" t="n"/>
      <c r="M45" s="28" t="n"/>
      <c r="N45" s="24" t="n"/>
      <c r="O45" s="26" t="n"/>
    </row>
    <row r="46">
      <c r="A46" s="29" t="n"/>
      <c r="B46" s="29" t="n"/>
      <c r="C46" s="29" t="n"/>
      <c r="D46" s="29" t="n"/>
      <c r="E46" s="29" t="n"/>
      <c r="F46" s="30" t="n"/>
      <c r="G46" s="31" t="n"/>
      <c r="H46" s="32" t="n"/>
      <c r="I46" s="32" t="n"/>
      <c r="J46" s="31" t="n"/>
      <c r="K46" s="31" t="n"/>
      <c r="L46" s="33" t="n"/>
      <c r="M46" s="33" t="n"/>
      <c r="N46" s="29" t="n"/>
      <c r="O46" s="31" t="n"/>
    </row>
    <row r="47">
      <c r="A47" s="24" t="n"/>
      <c r="B47" s="24" t="n"/>
      <c r="C47" s="24" t="n"/>
      <c r="D47" s="24" t="n"/>
      <c r="E47" s="24" t="n"/>
      <c r="F47" s="25" t="n"/>
      <c r="G47" s="26" t="n"/>
      <c r="H47" s="27" t="n"/>
      <c r="I47" s="27" t="n"/>
      <c r="J47" s="26" t="n"/>
      <c r="K47" s="26" t="n"/>
      <c r="L47" s="28" t="n"/>
      <c r="M47" s="28" t="n"/>
      <c r="N47" s="24" t="n"/>
      <c r="O47" s="26" t="n"/>
    </row>
    <row r="48">
      <c r="A48" s="29" t="n"/>
      <c r="B48" s="29" t="n"/>
      <c r="C48" s="29" t="n"/>
      <c r="D48" s="29" t="n"/>
      <c r="E48" s="29" t="n"/>
      <c r="F48" s="30" t="n"/>
      <c r="G48" s="31" t="n"/>
      <c r="H48" s="32" t="n"/>
      <c r="I48" s="32" t="n"/>
      <c r="J48" s="31" t="n"/>
      <c r="K48" s="31" t="n"/>
      <c r="L48" s="33" t="n"/>
      <c r="M48" s="33" t="n"/>
      <c r="N48" s="29" t="n"/>
      <c r="O48" s="31" t="n"/>
    </row>
    <row r="49">
      <c r="A49" s="24" t="n"/>
      <c r="B49" s="24" t="n"/>
      <c r="C49" s="24" t="n"/>
      <c r="D49" s="24" t="n"/>
      <c r="E49" s="24" t="n"/>
      <c r="F49" s="25" t="n"/>
      <c r="G49" s="26" t="n"/>
      <c r="H49" s="27" t="n"/>
      <c r="I49" s="27" t="n"/>
      <c r="J49" s="26" t="n"/>
      <c r="K49" s="26" t="n"/>
      <c r="L49" s="28" t="n"/>
      <c r="M49" s="28" t="n"/>
      <c r="N49" s="24" t="n"/>
      <c r="O49" s="26" t="n"/>
    </row>
    <row r="50">
      <c r="A50" s="29" t="n"/>
      <c r="B50" s="29" t="n"/>
      <c r="C50" s="29" t="n"/>
      <c r="D50" s="29" t="n"/>
      <c r="E50" s="29" t="n"/>
      <c r="F50" s="30" t="n"/>
      <c r="G50" s="31" t="n"/>
      <c r="H50" s="32" t="n"/>
      <c r="I50" s="32" t="n"/>
      <c r="J50" s="31" t="n"/>
      <c r="K50" s="31" t="n"/>
      <c r="L50" s="33" t="n"/>
      <c r="M50" s="33" t="n"/>
      <c r="N50" s="29" t="n"/>
      <c r="O50" s="31" t="n"/>
    </row>
    <row r="51">
      <c r="A51" s="24" t="n"/>
      <c r="B51" s="24" t="n"/>
      <c r="C51" s="24" t="n"/>
      <c r="D51" s="24" t="n"/>
      <c r="E51" s="24" t="n"/>
      <c r="F51" s="25" t="n"/>
      <c r="G51" s="26" t="n"/>
      <c r="H51" s="27" t="n"/>
      <c r="I51" s="27" t="n"/>
      <c r="J51" s="26" t="n"/>
      <c r="K51" s="26" t="n"/>
      <c r="L51" s="28" t="n"/>
      <c r="M51" s="28" t="n"/>
      <c r="N51" s="24" t="n"/>
      <c r="O51" s="26" t="n"/>
    </row>
    <row r="52">
      <c r="A52" s="29" t="n"/>
      <c r="B52" s="29" t="n"/>
      <c r="C52" s="29" t="n"/>
      <c r="D52" s="29" t="n"/>
      <c r="E52" s="29" t="n"/>
      <c r="F52" s="30" t="n"/>
      <c r="G52" s="31" t="n"/>
      <c r="H52" s="32" t="n"/>
      <c r="I52" s="32" t="n"/>
      <c r="J52" s="31" t="n"/>
      <c r="K52" s="31" t="n"/>
      <c r="L52" s="33" t="n"/>
      <c r="M52" s="33" t="n"/>
      <c r="N52" s="29" t="n"/>
      <c r="O52" s="31" t="n"/>
    </row>
    <row r="53">
      <c r="A53" s="24" t="n"/>
      <c r="B53" s="24" t="n"/>
      <c r="C53" s="24" t="n"/>
      <c r="D53" s="24" t="n"/>
      <c r="E53" s="24" t="n"/>
      <c r="F53" s="25" t="n"/>
      <c r="G53" s="26" t="n"/>
      <c r="H53" s="27" t="n"/>
      <c r="I53" s="27" t="n"/>
      <c r="J53" s="26" t="n"/>
      <c r="K53" s="26" t="n"/>
      <c r="L53" s="28" t="n"/>
      <c r="M53" s="28" t="n"/>
      <c r="N53" s="24" t="n"/>
      <c r="O53" s="26" t="n"/>
    </row>
    <row r="54">
      <c r="A54" s="29" t="n"/>
      <c r="B54" s="29" t="n"/>
      <c r="C54" s="29" t="n"/>
      <c r="D54" s="29" t="n"/>
      <c r="E54" s="29" t="n"/>
      <c r="F54" s="30" t="n"/>
      <c r="G54" s="31" t="n"/>
      <c r="H54" s="32" t="n"/>
      <c r="I54" s="32" t="n"/>
      <c r="J54" s="31" t="n"/>
      <c r="K54" s="31" t="n"/>
      <c r="L54" s="33" t="n"/>
      <c r="M54" s="33" t="n"/>
      <c r="N54" s="29" t="n"/>
      <c r="O54" s="31" t="n"/>
    </row>
  </sheetData>
  <sheetProtection selectLockedCells="0" selectUnlockedCells="0" sheet="1" objects="1" insertRows="0" insertHyperlinks="1" autoFilter="0" scenarios="1" formatColumns="0" deleteColumns="1" insertColumns="1" pivotTables="1" deleteRows="0" formatCells="0" formatRows="0" sort="0"/>
  <autoFilter ref="A2:O54"/>
  <mergeCells count="2">
    <mergeCell ref="A1:G1"/>
    <mergeCell ref="A3:O3"/>
  </mergeCells>
  <conditionalFormatting sqref="K4:K53">
    <cfRule type="expression" priority="1" dxfId="0">
      <formula>AND($K4&lt;&gt;"",$K4&lt;TODAY(),$E4="Pipeline / En Curso")</formula>
    </cfRule>
  </conditionalFormatting>
  <conditionalFormatting sqref="O4:O53">
    <cfRule type="expression" priority="2" dxfId="0">
      <formula>AND($O4&lt;&gt;"",$O4&lt;TODAY(),$E4="Pipeline / En Curso")</formula>
    </cfRule>
  </conditionalFormatting>
  <dataValidations count="5">
    <dataValidation sqref="C4:C100" showDropDown="0" showInputMessage="1" showErrorMessage="1" allowBlank="1" type="list">
      <formula1>LiteOppTypes</formula1>
    </dataValidation>
    <dataValidation sqref="D4:D100" showDropDown="0" showInputMessage="1" showErrorMessage="1" allowBlank="1" type="list">
      <formula1>LiteSales</formula1>
    </dataValidation>
    <dataValidation sqref="E4:E100" showDropDown="0" showInputMessage="1" showErrorMessage="1" allowBlank="1" type="list">
      <formula1>"Pipeline / En Curso,On Hold / En Espera,Lost / Perdido,Converted / Convertido"</formula1>
    </dataValidation>
    <dataValidation sqref="F4:F100" showDropDown="0" showInputMessage="1" showErrorMessage="1" allowBlank="1" type="list">
      <formula1>"10%,25%,50%,75%,90%"</formula1>
    </dataValidation>
    <dataValidation sqref="N4:N100" showDropDown="0" showInputMessage="1" showErrorMessage="1" allowBlank="1" errorTitle="Not on the list" error="That is fine - the Action Owner can be anyone. Click Yes to keep it." type="list" errorStyle="warning">
      <formula1>LiteSales</formula1>
    </dataValidation>
  </dataValidations>
  <pageMargins left="0.7" right="0.7" top="0.75" bottom="0.75" header="0.3" footer="0.3"/>
</worksheet>
</file>

<file path=xl/worksheets/sheet4.xml><?xml version="1.0" encoding="utf-8"?>
<worksheet xmlns="http://schemas.openxmlformats.org/spreadsheetml/2006/main">
  <sheetPr>
    <tabColor rgb="FF006B32"/>
    <outlinePr summaryBelow="1" summaryRight="1"/>
    <pageSetUpPr/>
  </sheetPr>
  <dimension ref="A1:D22"/>
  <sheetViews>
    <sheetView topLeftCell="A11" workbookViewId="0">
      <selection activeCell="A1" sqref="A1:D1"/>
    </sheetView>
  </sheetViews>
  <sheetFormatPr baseColWidth="8" defaultRowHeight="14.5"/>
  <cols>
    <col width="24.7265625" customWidth="1" min="1" max="1"/>
    <col width="12.7265625" customWidth="1" min="2" max="2"/>
    <col width="20.7265625" customWidth="1" min="3" max="3"/>
    <col width="16.7265625" customWidth="1" min="4" max="4"/>
  </cols>
  <sheetData>
    <row r="1" ht="26" customHeight="1">
      <c r="A1" s="40">
        <f>IF(LangSel="ES","GENREV!™ Pipeline Lite™ - Resumen","GENREV!™ Pipeline Lite™ - Summary")</f>
        <v/>
      </c>
    </row>
    <row r="2">
      <c r="A2" s="41">
        <f>IF(LangSel="ES","Calculo automatico. No editar.","Auto-calculated. Do not edit.")</f>
        <v/>
      </c>
    </row>
    <row r="4" ht="30" customHeight="1">
      <c r="A4" s="18">
        <f>IF(LangSel="ES","Estado","Status")</f>
        <v/>
      </c>
      <c r="B4" s="18">
        <f>IF(LangSel="ES","Cantidad","Count")</f>
        <v/>
      </c>
      <c r="C4" s="18">
        <f>IF(LangSel="ES","Potencial Anual Est.","Est. Annual Potential")</f>
        <v/>
      </c>
      <c r="D4" s="18">
        <f>IF(LangSel="ES","Valor Est. Ano 1","Yr. 1 Est. Value")</f>
        <v/>
      </c>
    </row>
    <row r="5">
      <c r="A5" s="34">
        <f>IF(LangSel="ES","- Todos -","- All -")</f>
        <v/>
      </c>
      <c r="B5" s="35">
        <f>COUNTA(Pipeline!B4:B53)</f>
        <v/>
      </c>
      <c r="C5" s="36">
        <f>SUM(Pipeline!H4:H53)</f>
        <v/>
      </c>
      <c r="D5" s="36">
        <f>SUM(Pipeline!I4:I53)</f>
        <v/>
      </c>
    </row>
    <row r="6">
      <c r="A6" s="34" t="inlineStr">
        <is>
          <t>Pipeline / En Curso</t>
        </is>
      </c>
      <c r="B6" s="35">
        <f>COUNTIF(Pipeline!E4:E53,"Pipeline / En Curso")</f>
        <v/>
      </c>
      <c r="C6" s="36">
        <f>SUMIF(Pipeline!E4:E53,"Pipeline / En Curso",Pipeline!H4:H53)</f>
        <v/>
      </c>
      <c r="D6" s="36">
        <f>SUMIF(Pipeline!E4:E53,"Pipeline / En Curso",Pipeline!I4:I53)</f>
        <v/>
      </c>
    </row>
    <row r="7">
      <c r="A7" s="34" t="inlineStr">
        <is>
          <t>On Hold / En Espera</t>
        </is>
      </c>
      <c r="B7" s="35">
        <f>COUNTIF(Pipeline!E4:E53,"On Hold / En Espera")</f>
        <v/>
      </c>
      <c r="C7" s="36">
        <f>SUMIF(Pipeline!E4:E53,"On Hold / En Espera",Pipeline!H4:H53)</f>
        <v/>
      </c>
      <c r="D7" s="36">
        <f>SUMIF(Pipeline!E4:E53,"On Hold / En Espera",Pipeline!I4:I53)</f>
        <v/>
      </c>
    </row>
    <row r="8">
      <c r="A8" s="34" t="inlineStr">
        <is>
          <t>Lost / Perdido</t>
        </is>
      </c>
      <c r="B8" s="35">
        <f>COUNTIF(Pipeline!E4:E53,"Lost / Perdido")</f>
        <v/>
      </c>
      <c r="C8" s="36">
        <f>SUMIF(Pipeline!E4:E53,"Lost / Perdido",Pipeline!H4:H53)</f>
        <v/>
      </c>
      <c r="D8" s="36">
        <f>SUMIF(Pipeline!E4:E53,"Lost / Perdido",Pipeline!I4:I53)</f>
        <v/>
      </c>
    </row>
    <row r="9">
      <c r="A9" s="34" t="inlineStr">
        <is>
          <t>Converted / Convertido</t>
        </is>
      </c>
      <c r="B9" s="35">
        <f>COUNTIF(Pipeline!E4:E53,"Converted / Convertido")</f>
        <v/>
      </c>
      <c r="C9" s="36">
        <f>SUMIF(Pipeline!E4:E53,"Converted / Convertido",Pipeline!H4:H53)</f>
        <v/>
      </c>
      <c r="D9" s="36">
        <f>SUMIF(Pipeline!E4:E53,"Converted / Convertido",Pipeline!I4:I53)</f>
        <v/>
      </c>
    </row>
    <row r="10">
      <c r="A10" s="37">
        <f>IF(LangSel="ES","(Sin Estado)","(No Status)")</f>
        <v/>
      </c>
      <c r="B10" s="35">
        <f>COUNTIFS(Pipeline!B4:B53,"&lt;&gt;",Pipeline!E4:E53,"")</f>
        <v/>
      </c>
      <c r="C10" s="36">
        <f>SUMIFS(Pipeline!H4:H53,Pipeline!B4:B53,"&lt;&gt;",Pipeline!E4:E53,"")</f>
        <v/>
      </c>
      <c r="D10" s="36">
        <f>SUMIFS(Pipeline!I4:I53,Pipeline!B4:B53,"&lt;&gt;",Pipeline!E4:E53,"")</f>
        <v/>
      </c>
    </row>
    <row r="12">
      <c r="A12" s="42">
        <f>IF(LangSel="ES","Por Probabilidad (Solo En Curso)","By Probability (Pipeline Status Only)")</f>
        <v/>
      </c>
    </row>
    <row r="13" ht="30" customHeight="1">
      <c r="A13" s="18">
        <f>IF(LangSel="ES","Probabilidad","Probability")</f>
        <v/>
      </c>
      <c r="B13" s="18">
        <f>IF(LangSel="ES","Cantidad","Count")</f>
        <v/>
      </c>
      <c r="C13" s="18">
        <f>IF(LangSel="ES","Potencial Anual Est.","Est. Annual Potential")</f>
        <v/>
      </c>
      <c r="D13" s="18">
        <f>IF(LangSel="ES","Valor Est. Ano 1","Yr. 1 Est. Value")</f>
        <v/>
      </c>
    </row>
    <row r="14">
      <c r="A14" s="34" t="inlineStr">
        <is>
          <t>90%</t>
        </is>
      </c>
      <c r="B14" s="35">
        <f>COUNTIFS(Pipeline!E4:E53,"Pipeline / En Curso",Pipeline!F4:F53,0.9)</f>
        <v/>
      </c>
      <c r="C14" s="36">
        <f>SUMIFS(Pipeline!H4:H53,Pipeline!E4:E53,"Pipeline / En Curso",Pipeline!F4:F53,0.9)</f>
        <v/>
      </c>
      <c r="D14" s="36">
        <f>SUMIFS(Pipeline!I4:I53,Pipeline!E4:E53,"Pipeline / En Curso",Pipeline!F4:F53,0.9)</f>
        <v/>
      </c>
    </row>
    <row r="15">
      <c r="A15" s="34" t="inlineStr">
        <is>
          <t>75%</t>
        </is>
      </c>
      <c r="B15" s="35">
        <f>COUNTIFS(Pipeline!E4:E53,"Pipeline / En Curso",Pipeline!F4:F53,0.75)</f>
        <v/>
      </c>
      <c r="C15" s="36">
        <f>SUMIFS(Pipeline!H4:H53,Pipeline!E4:E53,"Pipeline / En Curso",Pipeline!F4:F53,0.75)</f>
        <v/>
      </c>
      <c r="D15" s="36">
        <f>SUMIFS(Pipeline!I4:I53,Pipeline!E4:E53,"Pipeline / En Curso",Pipeline!F4:F53,0.75)</f>
        <v/>
      </c>
    </row>
    <row r="16">
      <c r="A16" s="34" t="inlineStr">
        <is>
          <t>50%</t>
        </is>
      </c>
      <c r="B16" s="35">
        <f>COUNTIFS(Pipeline!E4:E53,"Pipeline / En Curso",Pipeline!F4:F53,0.5)</f>
        <v/>
      </c>
      <c r="C16" s="36">
        <f>SUMIFS(Pipeline!H4:H53,Pipeline!E4:E53,"Pipeline / En Curso",Pipeline!F4:F53,0.5)</f>
        <v/>
      </c>
      <c r="D16" s="36">
        <f>SUMIFS(Pipeline!I4:I53,Pipeline!E4:E53,"Pipeline / En Curso",Pipeline!F4:F53,0.5)</f>
        <v/>
      </c>
    </row>
    <row r="17">
      <c r="A17" s="34" t="inlineStr">
        <is>
          <t>25%</t>
        </is>
      </c>
      <c r="B17" s="35">
        <f>COUNTIFS(Pipeline!E4:E53,"Pipeline / En Curso",Pipeline!F4:F53,0.25)</f>
        <v/>
      </c>
      <c r="C17" s="36">
        <f>SUMIFS(Pipeline!H4:H53,Pipeline!E4:E53,"Pipeline / En Curso",Pipeline!F4:F53,0.25)</f>
        <v/>
      </c>
      <c r="D17" s="36">
        <f>SUMIFS(Pipeline!I4:I53,Pipeline!E4:E53,"Pipeline / En Curso",Pipeline!F4:F53,0.25)</f>
        <v/>
      </c>
    </row>
    <row r="18">
      <c r="A18" s="34" t="inlineStr">
        <is>
          <t>10%</t>
        </is>
      </c>
      <c r="B18" s="35">
        <f>COUNTIFS(Pipeline!E4:E53,"Pipeline / En Curso",Pipeline!F4:F53,0.1)</f>
        <v/>
      </c>
      <c r="C18" s="36">
        <f>SUMIFS(Pipeline!H4:H53,Pipeline!E4:E53,"Pipeline / En Curso",Pipeline!F4:F53,0.1)</f>
        <v/>
      </c>
      <c r="D18" s="36">
        <f>SUMIFS(Pipeline!I4:I53,Pipeline!E4:E53,"Pipeline / En Curso",Pipeline!F4:F53,0.1)</f>
        <v/>
      </c>
    </row>
    <row r="20" ht="24" customHeight="1">
      <c r="A20" s="43">
        <f>IF(LangSel="ES","Esta es la version inicial. El sistema completo GENREV!™ va mucho mas alla: www.genrev.co","This is the starter version. The full GENREV!™ system goes much further: www.genrev.co")</f>
        <v/>
      </c>
      <c r="B20" s="45" t="n"/>
      <c r="C20" s="45" t="n"/>
      <c r="D20" s="46" t="n"/>
    </row>
    <row r="22">
      <c r="A22" s="44" t="inlineStr">
        <is>
          <t>GENREV!™  |  All Rights Reserved  |  www.genrev.co</t>
        </is>
      </c>
    </row>
  </sheetData>
  <sheetProtection selectLockedCells="0" selectUnlockedCells="0" sheet="1" objects="1" insertRows="1" insertHyperlinks="1" autoFilter="1" scenarios="1" formatColumns="1" deleteColumns="1" insertColumns="1" pivotTables="1" deleteRows="1" formatCells="1" formatRows="1" sort="1"/>
  <mergeCells count="5">
    <mergeCell ref="A1:D1"/>
    <mergeCell ref="A22:D22"/>
    <mergeCell ref="A12:D12"/>
    <mergeCell ref="A20:D20"/>
    <mergeCell ref="A2:D2"/>
  </mergeCells>
  <pageMargins left="0.7" right="0.7" top="0.75" bottom="0.75" header="0.3" footer="0.3"/>
</worksheet>
</file>

<file path=xl/worksheets/sheet5.xml><?xml version="1.0" encoding="utf-8"?>
<worksheet xmlns="http://schemas.openxmlformats.org/spreadsheetml/2006/main">
  <sheetPr>
    <tabColor rgb="FFC9963A"/>
    <outlinePr summaryBelow="1" summaryRight="1"/>
    <pageSetUpPr/>
  </sheetPr>
  <dimension ref="A1:A60"/>
  <sheetViews>
    <sheetView showGridLines="0" workbookViewId="0">
      <selection activeCell="H10" sqref="H10"/>
    </sheetView>
  </sheetViews>
  <sheetFormatPr baseColWidth="8" defaultRowHeight="14.5"/>
  <cols>
    <col width="96.7265625" customWidth="1" min="1" max="1"/>
  </cols>
  <sheetData>
    <row r="1" ht="30" customHeight="1">
      <c r="A1" s="40">
        <f>IF(LangSel="ES","Un Vistazo al Pipeline Completo GENREV!™","A Look at the Full GENREV!™ Pipeline")</f>
        <v/>
      </c>
    </row>
    <row r="2" ht="18" customHeight="1">
      <c r="A2" s="41">
        <f>IF(LangSel="ES","Datos de muestra. Los encabezados de columna y titulos de reportes no se muestran intencionalmente.","Sample data. Column headings and report titles are intentionally not shown.")</f>
        <v/>
      </c>
    </row>
    <row r="4" ht="18" customHeight="1">
      <c r="A4" s="5">
        <f>IF(LangSel="ES","Cada fila lleva la calidad del negocio y sus propias alertas de seguimiento:","Every row carries deal quality and its own follow-up flags:")</f>
        <v/>
      </c>
    </row>
    <row r="16" ht="18" customHeight="1">
      <c r="A16" s="5">
        <f>IF(LangSel="ES","Resumenes que se calculan solos, en una sola vista:","Rollups that calculate themselves, in one view:")</f>
        <v/>
      </c>
    </row>
    <row r="34" ht="18" customHeight="1">
      <c r="A34" s="5">
        <f>IF(LangSel="ES","Y un panel en vivo:","And a live dashboard:")</f>
        <v/>
      </c>
    </row>
    <row r="58" ht="22" customHeight="1">
      <c r="A58" s="43">
        <f>IF(LangSel="ES","El sistema completo es parte de trabajar con GENREV!™.","The full system is part of working with GENREV!™.")</f>
        <v/>
      </c>
    </row>
    <row r="60">
      <c r="A60" s="44" t="inlineStr">
        <is>
          <t>GENREV!™  |  All Rights Reserved  |  www.genrev.co</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Chuck Kitchen</dc:creator>
  <dcterms:created xmlns:dcterms="http://purl.org/dc/terms/" xmlns:xsi="http://www.w3.org/2001/XMLSchema-instance" xsi:type="dcterms:W3CDTF">2026-09-04T12:58:04Z</dcterms:created>
  <dcterms:modified xmlns:dcterms="http://purl.org/dc/terms/" xmlns:xsi="http://www.w3.org/2001/XMLSchema-instance" xsi:type="dcterms:W3CDTF">2026-09-29T18:17:24Z</dcterms:modified>
  <cp:lastModifiedBy>Chuck Kitchen</cp:lastModifiedBy>
</cp:coreProperties>
</file>